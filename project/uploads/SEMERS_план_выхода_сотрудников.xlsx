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Сотрудники" sheetId="2" state="visible" r:id="rId4"/>
    <sheet name="Отпуска и отсутствия" sheetId="3" state="visible" r:id="rId5"/>
    <sheet name="План выход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<sst xmlns="http://schemas.openxmlformats.org/spreadsheetml/2006/main" count="73" uniqueCount="53">
  <si>
    <t xml:space="preserve">План выхода сотрудников — как заполнять</t>
  </si>
  <si>
    <t xml:space="preserve">Зачем: по этому плану система сама считает, сколько людей сегодня на складе и на производстве,</t>
  </si>
  <si>
    <t xml:space="preserve">и какая мощность смены — чтобы рассчитывать срок готовности заказа без участия склада.</t>
  </si>
  <si>
    <t xml:space="preserve">Лист «Сотрудники» — заполнить один раз:</t>
  </si>
  <si>
    <t xml:space="preserve">   • ФИО, отдел (склад или производство), должность</t>
  </si>
  <si>
    <t xml:space="preserve">   • Норматив — сколько единиц этот человек собирает/упаковывает за смену (примерно)</t>
  </si>
  <si>
    <t xml:space="preserve">   • Дни недели Пн–Вс: поставьте 1 в дни, когда человек обычно работает (пусто = выходной)</t>
  </si>
  <si>
    <t xml:space="preserve">   • Активен — «да», пока человек в штате (уволился → «нет»)</t>
  </si>
  <si>
    <t xml:space="preserve">Лист «Отпуска и отсутствия» — отмечать заранее (отпуска) и по факту (больничные):</t>
  </si>
  <si>
    <t xml:space="preserve">   • ФИО, тип, с какой даты по какую — система исключит человека из смены на эти дни</t>
  </si>
  <si>
    <t xml:space="preserve">Лист «План выхода» — НИЧЕГО заполнять не нужно, считается сам:</t>
  </si>
  <si>
    <t xml:space="preserve">   • Поставьте дату вверху — увидите, кто сегодня работает и сколько мощности у склада и завода</t>
  </si>
  <si>
    <t xml:space="preserve">Дальше этот файл подключается к системе, и агент берёт из него число рук на любой день.</t>
  </si>
  <si>
    <t xml:space="preserve">№</t>
  </si>
  <si>
    <t xml:space="preserve">ФИО</t>
  </si>
  <si>
    <t xml:space="preserve">Отдел</t>
  </si>
  <si>
    <t xml:space="preserve">Должность</t>
  </si>
  <si>
    <t xml:space="preserve">Норматив
(шт/смена)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</si>
  <si>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</si>
  <si>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</si>
  <si>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</si>
  <si>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</si>
  <si>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</si>
  <si>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</si>
  <si>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Вс</t>
  </si>
  <si>
    <t xml:space="preserve">Активен</t>
  </si>
  <si>
    <t xml:space="preserve">Иванов И.</t>
  </si>
  <si>
    <t xml:space="preserve">склад</t>
  </si>
  <si>
    <t xml:space="preserve">комплектовщик</t>
  </si>
  <si>
    <t xml:space="preserve">да</t>
  </si>
  <si>
    <t xml:space="preserve">Петров П.</t>
  </si>
  <si>
    <t xml:space="preserve">Сидорова А.</t>
  </si>
  <si>
    <t xml:space="preserve">маркировка</t>
  </si>
  <si>
    <t xml:space="preserve">Козлов В.</t>
  </si>
  <si>
    <t xml:space="preserve">производство</t>
  </si>
  <si>
    <t xml:space="preserve">фасовщик</t>
  </si>
  <si>
    <t xml:space="preserve">Морозова Е.</t>
  </si>
  <si>
    <t xml:space="preserve">Новиков Д.</t>
  </si>
  <si>
    <t xml:space="preserve">оператор</t>
  </si>
  <si>
    <t xml:space="preserve">Тип</t>
  </si>
  <si>
    <t xml:space="preserve">С даты</t>
  </si>
  <si>
    <t xml:space="preserve">По дату</t>
  </si>
  <si>
    <t xml:space="preserve">Примечание</t>
  </si>
  <si>
    <t xml:space="preserve">отпуск</t>
  </si>
  <si>
    <t xml:space="preserve">плановый</t>
  </si>
  <si>
    <t xml:space="preserve">больничный</t>
  </si>
  <si>
    <t xml:space="preserve">Дата расчёта:</t>
  </si>
  <si>
    <t xml:space="preserve">День недели:</t>
  </si>
  <si>
    <t xml:space="preserve">Сегодня на смене</t>
  </si>
  <si>
    <t xml:space="preserve">Человек</t>
  </si>
  <si>
    <t xml:space="preserve">Мощность смены (шт)</t>
  </si>
  <si>
    <t xml:space="preserve">Норматив</t>
  </si>
  <si>
    <t xml:space="preserve">Работает
сегодня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</si>
</sst>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A3A1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BBBBBB"/>
      <name val="Cambria"/>
      <family val="0"/>
      <charset val="1"/>
    </font>
    <font>
      <b val="true"/>
      <sz val="12"/>
      <color rgb="FF5A3A1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A4B1D"/>
        <bgColor rgb="FF5A3A1A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4B1D"/>
      <rgbColor rgb="FF993366"/>
      <rgbColor rgb="FF333399"/>
      <rgbColor rgb="FF5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12" min="6" style="1" width="5"/>
    <col collapsed="false" customWidth="true" hidden="false" outlineLevel="0" max="13" min="13" style="1" width="10"/>
  </cols>
  <sheetData>
    <row r="1" customFormat="false" ht="30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5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</row>
    <row r="2" customFormat="false" ht="15" hidden="false" customHeight="true" outlineLevel="0" collapsed="false">
      <c r="A2" s="6" t="n">
        <v>1</v>
      </c>
      <c r="B2" s="6" t="s">
        <v>26</v>
      </c>
      <c r="C2" s="6" t="s">
        <v>27</v>
      </c>
      <c r="D2" s="6" t="s">
        <v>28</v>
      </c>
      <c r="E2" s="7" t="n">
        <v>800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/>
      <c r="L2" s="7"/>
      <c r="M2" s="7" t="s">
        <v>29</v>
      </c>
    </row>
    <row r="3" customFormat="false" ht="15" hidden="false" customHeight="true" outlineLevel="0" collapsed="false">
      <c r="A3" s="6" t="n">
        <v>2</v>
      </c>
      <c r="B3" s="6" t="s">
        <v>30</v>
      </c>
      <c r="C3" s="6" t="s">
        <v>27</v>
      </c>
      <c r="D3" s="6" t="s">
        <v>28</v>
      </c>
      <c r="E3" s="7" t="n">
        <v>750</v>
      </c>
      <c r="F3" s="7" t="n">
        <v>1</v>
      </c>
      <c r="G3" s="7" t="n">
        <v>1</v>
      </c>
      <c r="H3" s="7" t="n">
        <v>1</v>
      </c>
      <c r="I3" s="7" t="n">
        <v>1</v>
      </c>
      <c r="J3" s="7" t="n">
        <v>1</v>
      </c>
      <c r="K3" s="7"/>
      <c r="L3" s="7"/>
      <c r="M3" s="7" t="s">
        <v>29</v>
      </c>
    </row>
    <row r="4" customFormat="false" ht="15" hidden="false" customHeight="true" outlineLevel="0" collapsed="false">
      <c r="A4" s="6" t="n">
        <v>3</v>
      </c>
      <c r="B4" s="6" t="s">
        <v>31</v>
      </c>
      <c r="C4" s="6" t="s">
        <v>27</v>
      </c>
      <c r="D4" s="6" t="s">
        <v>32</v>
      </c>
      <c r="E4" s="7" t="n">
        <v>600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/>
      <c r="M4" s="7" t="s">
        <v>29</v>
      </c>
    </row>
    <row r="5" customFormat="false" ht="15" hidden="false" customHeight="true" outlineLevel="0" collapsed="false">
      <c r="A5" s="6" t="n">
        <v>4</v>
      </c>
      <c r="B5" s="6" t="s">
        <v>33</v>
      </c>
      <c r="C5" s="6" t="s">
        <v>34</v>
      </c>
      <c r="D5" s="6" t="s">
        <v>35</v>
      </c>
      <c r="E5" s="7" t="n">
        <v>1600</v>
      </c>
      <c r="F5" s="7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7"/>
      <c r="L5" s="7"/>
      <c r="M5" s="7" t="s">
        <v>29</v>
      </c>
    </row>
    <row r="6" customFormat="false" ht="15" hidden="false" customHeight="true" outlineLevel="0" collapsed="false">
      <c r="A6" s="6" t="n">
        <v>5</v>
      </c>
      <c r="B6" s="6" t="s">
        <v>36</v>
      </c>
      <c r="C6" s="6" t="s">
        <v>34</v>
      </c>
      <c r="D6" s="6" t="s">
        <v>35</v>
      </c>
      <c r="E6" s="7" t="n">
        <v>1500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/>
      <c r="L6" s="7"/>
      <c r="M6" s="7" t="s">
        <v>29</v>
      </c>
    </row>
    <row r="7" customFormat="false" ht="15" hidden="false" customHeight="true" outlineLevel="0" collapsed="false">
      <c r="A7" s="6" t="n">
        <v>6</v>
      </c>
      <c r="B7" s="6" t="s">
        <v>37</v>
      </c>
      <c r="C7" s="6" t="s">
        <v>34</v>
      </c>
      <c r="D7" s="6" t="s">
        <v>38</v>
      </c>
      <c r="E7" s="7" t="n">
        <v>1400</v>
      </c>
      <c r="F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  <c r="L7" s="7" t="n">
        <v>1</v>
      </c>
      <c r="M7" s="7" t="s">
        <v>29</v>
      </c>
    </row>
    <row r="8" customFormat="false" ht="15" hidden="false" customHeight="true" outlineLevel="0" collapsed="false">
      <c r="A8" s="6"/>
      <c r="B8" s="6"/>
      <c r="C8" s="6"/>
      <c r="D8" s="6"/>
      <c r="E8" s="7"/>
      <c r="F8" s="7"/>
      <c r="G8" s="7"/>
      <c r="H8" s="7"/>
      <c r="I8" s="7"/>
      <c r="J8" s="7"/>
      <c r="K8" s="7"/>
      <c r="L8" s="7"/>
      <c r="M8" s="7"/>
    </row>
    <row r="9" customFormat="false" ht="15" hidden="false" customHeight="true" outlineLevel="0" collapsed="false">
      <c r="A9" s="6"/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</row>
    <row r="10" customFormat="false" ht="15" hidden="false" customHeight="true" outlineLevel="0" collapsed="false">
      <c r="A10" s="6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</row>
    <row r="11" customFormat="false" ht="15" hidden="false" customHeight="true" outlineLevel="0" collapsed="false">
      <c r="A11" s="6"/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</row>
    <row r="12" customFormat="false" ht="15" hidden="false" customHeight="true" outlineLevel="0" collapsed="false">
      <c r="A12" s="6"/>
      <c r="B12" s="6"/>
      <c r="C12" s="6"/>
      <c r="D12" s="6"/>
      <c r="E12" s="7"/>
      <c r="F12" s="7"/>
      <c r="G12" s="7"/>
      <c r="H12" s="7"/>
      <c r="I12" s="7"/>
      <c r="J12" s="7"/>
      <c r="K12" s="7"/>
      <c r="L12" s="7"/>
      <c r="M12" s="7"/>
    </row>
    <row r="13" customFormat="false" ht="15" hidden="false" customHeight="true" outlineLevel="0" collapsed="false">
      <c r="A13" s="6"/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</row>
    <row r="14" customFormat="false" ht="15" hidden="false" customHeight="true" outlineLevel="0" collapsed="false">
      <c r="A14" s="6"/>
      <c r="B14" s="6"/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</row>
    <row r="15" customFormat="false" ht="15" hidden="false" customHeight="true" outlineLevel="0" collapsed="false">
      <c r="A15" s="6"/>
      <c r="B15" s="6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true" outlineLevel="0" collapsed="false">
      <c r="A16" s="6"/>
      <c r="B16" s="6"/>
      <c r="C16" s="6"/>
      <c r="D16" s="6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" hidden="false" customHeight="true" outlineLevel="0" collapsed="false">
      <c r="A17" s="6"/>
      <c r="B17" s="6"/>
      <c r="C17" s="6"/>
      <c r="D17" s="6"/>
      <c r="E17" s="7"/>
      <c r="F17" s="7"/>
      <c r="G17" s="7"/>
      <c r="H17" s="7"/>
      <c r="I17" s="7"/>
      <c r="J17" s="7"/>
      <c r="K17" s="7"/>
      <c r="L17" s="7"/>
      <c r="M17" s="7"/>
    </row>
    <row r="18" customFormat="false" ht="15" hidden="false" customHeight="true" outlineLevel="0" collapsed="false">
      <c r="A18" s="6"/>
      <c r="B18" s="6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</row>
    <row r="19" customFormat="false" ht="15" hidden="false" customHeight="true" outlineLevel="0" collapsed="false">
      <c r="A19" s="6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</row>
    <row r="20" customFormat="false" ht="15" hidden="false" customHeight="true" outlineLevel="0" collapsed="false">
      <c r="A20" s="6"/>
      <c r="B20" s="6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true" outlineLevel="0" collapsed="false">
      <c r="A21" s="6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</row>
  </sheetData>
  <dataValidations count="2">
    <dataValidation allowBlank="true" errorStyle="stop" operator="between" showDropDown="false" showErrorMessage="false" showInputMessage="false" sqref="C2:C21" type="list">
      <formula1>"склад,производство"</formula1>
      <formula2>0</formula2>
    </dataValidation>
    <dataValidation allowBlank="true" errorStyle="stop" operator="between" showDropDown="false" showErrorMessage="false" showInputMessage="false" sqref="M2:M21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4" t="s">
        <v>13</v>
      </c>
      <c r="B1" s="4" t="s">
        <v>14</v>
      </c>
      <c r="C1" s="4" t="s">
        <v>39</v>
      </c>
      <c r="D1" s="4" t="s">
        <v>40</v>
      </c>
      <c r="E1" s="4" t="s">
        <v>41</v>
      </c>
      <c r="F1" s="4" t="s">
        <v>42</v>
      </c>
    </row>
    <row r="2" customFormat="false" ht="15" hidden="false" customHeight="true" outlineLevel="0" collapsed="false">
      <c r="A2" s="6" t="n">
        <v>1</v>
      </c>
      <c r="B2" s="6" t="s">
        <v>26</v>
      </c>
      <c r="C2" s="6" t="s">
        <v>43</v>
      </c>
      <c r="D2" s="8" t="n">
        <v>46204</v>
      </c>
      <c r="E2" s="8" t="n">
        <v>46217</v>
      </c>
      <c r="F2" s="6" t="s">
        <v>44</v>
      </c>
    </row>
    <row r="3" customFormat="false" ht="15" hidden="false" customHeight="true" outlineLevel="0" collapsed="false">
      <c r="A3" s="6" t="n">
        <v>2</v>
      </c>
      <c r="B3" s="6" t="s">
        <v>33</v>
      </c>
      <c r="C3" s="6" t="s">
        <v>45</v>
      </c>
      <c r="D3" s="8" t="n">
        <v>46195</v>
      </c>
      <c r="E3" s="8" t="n">
        <v>46197</v>
      </c>
      <c r="F3" s="6"/>
    </row>
    <row r="4" customFormat="false" ht="15" hidden="false" customHeight="true" outlineLevel="0" collapsed="false">
      <c r="A4" s="6"/>
      <c r="B4" s="6"/>
      <c r="C4" s="6"/>
      <c r="D4" s="6"/>
      <c r="E4" s="6"/>
      <c r="F4" s="6"/>
    </row>
    <row r="5" customFormat="false" ht="15" hidden="false" customHeight="true" outlineLevel="0" collapsed="false">
      <c r="A5" s="6"/>
      <c r="B5" s="6"/>
      <c r="C5" s="6"/>
      <c r="D5" s="6"/>
      <c r="E5" s="6"/>
      <c r="F5" s="6"/>
    </row>
    <row r="6" customFormat="false" ht="15" hidden="false" customHeight="true" outlineLevel="0" collapsed="false">
      <c r="A6" s="6"/>
      <c r="B6" s="6"/>
      <c r="C6" s="6"/>
      <c r="D6" s="6"/>
      <c r="E6" s="6"/>
      <c r="F6" s="6"/>
    </row>
    <row r="7" customFormat="false" ht="15" hidden="false" customHeight="true" outlineLevel="0" collapsed="false">
      <c r="A7" s="6"/>
      <c r="B7" s="6"/>
      <c r="C7" s="6"/>
      <c r="D7" s="6"/>
      <c r="E7" s="6"/>
      <c r="F7" s="6"/>
    </row>
    <row r="8" customFormat="false" ht="15" hidden="false" customHeight="true" outlineLevel="0" collapsed="false">
      <c r="A8" s="6"/>
      <c r="B8" s="6"/>
      <c r="C8" s="6"/>
      <c r="D8" s="6"/>
      <c r="E8" s="6"/>
      <c r="F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</row>
  </sheetData>
  <dataValidations count="1">
    <dataValidation allowBlank="true" errorStyle="stop" operator="between" showDropDown="false" showErrorMessage="false" showInputMessage="false" sqref="C2:C21" type="list">
      <formula1>"отпуск,больничный,другое"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5" min="4" style="1" width="12"/>
  </cols>
  <sheetData>
    <row r="1" customFormat="false" ht="15" hidden="false" customHeight="true" outlineLevel="0" collapsed="false">
      <c r="A1" s="9" t="s">
        <v>46</v>
      </c>
      <c r="B1" s="10" t="n">
        <f aca="true">TODAY()</f>
        <v>46193</v>
      </c>
      <c r="C1" s="11" t="s">
        <v>47</v>
      </c>
      <c r="D1" s="12" t="str">
        <f aca="false">CHOOSE(WEEKDAY($B$1,2),"Пн","Вт","Ср","Чт","Пт","Сб","Вс")</f>
        <v>Сб</v>
      </c>
      <c r="F1" s="13" t="n">
        <f aca="false">WEEKDAY($B$1,2)</f>
        <v>6</v>
      </c>
    </row>
    <row r="3" customFormat="false" ht="15" hidden="false" customHeight="true" outlineLevel="0" collapsed="false">
      <c r="A3" s="14" t="s">
        <v>48</v>
      </c>
    </row>
    <row r="4" customFormat="false" ht="15" hidden="false" customHeight="true" outlineLevel="0" collapsed="false">
      <c r="A4" s="4" t="s">
        <v>15</v>
      </c>
      <c r="B4" s="4" t="s">
        <v>49</v>
      </c>
      <c r="C4" s="4" t="s">
        <v>50</v>
      </c>
    </row>
    <row r="5" customFormat="false" ht="15" hidden="false" customHeight="true" outlineLevel="0" collapsed="false">
      <c r="A5" s="15" t="s">
        <v>27</v>
      </c>
      <c r="B5" s="16" t="n">
        <f aca="false">SUMIFS($D$10:$D$200,$B$10:$B$200,"склад")</f>
        <v>1</v>
      </c>
      <c r="C5" s="16" t="n">
        <f aca="false">SUMPRODUCT(($B$10:$B$200="склад")*N($C$10:$C$200)*N($D$10:$D$200))</f>
        <v>600</v>
      </c>
    </row>
    <row r="6" customFormat="false" ht="15" hidden="false" customHeight="true" outlineLevel="0" collapsed="false">
      <c r="A6" s="15" t="s">
        <v>34</v>
      </c>
      <c r="B6" s="16" t="n">
        <f aca="false">SUMIFS($D$10:$D$200,$B$10:$B$200,"производство")</f>
        <v>1</v>
      </c>
      <c r="C6" s="16" t="n">
        <f aca="false">SUMPRODUCT(($B$10:$B$200="производство")*N($C$10:$C$200)*N($D$10:$D$200))</f>
        <v>1400</v>
      </c>
    </row>
    <row r="9" customFormat="false" ht="27.75" hidden="false" customHeight="true" outlineLevel="0" collapsed="false">
      <c r="A9" s="4" t="s">
        <v>14</v>
      </c>
      <c r="B9" s="4" t="s">
        <v>15</v>
      </c>
      <c r="C9" s="4" t="s">
        <v>51</v>
      </c>
      <c r="D9" s="5" t="s">
        <v>52</v>
      </c>
    </row>
    <row r="10" customFormat="false" ht="15" hidden="false" customHeight="true" outlineLevel="0" collapsed="false">
      <c r="A10" s="6" t="str">
        <f aca="false">Сотрудники!B2</f>
        <v>Иванов И.</v>
      </c>
      <c r="B10" s="6" t="str">
        <f aca="false">Сотрудники!C2</f>
        <v>склад</v>
      </c>
      <c r="C10" s="7" t="n">
        <f aca="false">Сотрудники!E2</f>
        <v>800</v>
      </c>
      <c r="D10" s="7" t="n">
        <f aca="false">IF(Сотрудники!$B2="","",IF(Сотрудники!$M2&lt;&gt;"да",0,IF(N(INDEX(Сотрудники!$F2:$L2,1,$F$1))&lt;&gt;1,0,IF(COUNTIFS('Отпуска и отсутствия'!$B:$B,Сотрудники!$B2,'Отпуска и отсутствия'!$D:$D,"&lt;="&amp;$B$1,'Отпуска и отсутствия'!$E:$E,"&gt;="&amp;$B$1)&gt;0,0,1))))</f>
        <v>0</v>
      </c>
    </row>
    <row r="11" customFormat="false" ht="15" hidden="false" customHeight="true" outlineLevel="0" collapsed="false">
      <c r="A11" s="6" t="str">
        <f aca="false">Сотрудники!B3</f>
        <v>Петров П.</v>
      </c>
      <c r="B11" s="6" t="str">
        <f aca="false">Сотрудники!C3</f>
        <v>склад</v>
      </c>
      <c r="C11" s="7" t="n">
        <f aca="false">Сотрудники!E3</f>
        <v>750</v>
      </c>
      <c r="D11" s="7" t="n">
        <f aca="false">IF(Сотрудники!$B3="","",IF(Сотрудники!$M3&lt;&gt;"да",0,IF(N(INDEX(Сотрудники!$F3:$L3,1,$F$1))&lt;&gt;1,0,IF(COUNTIFS('Отпуска и отсутствия'!$B:$B,Сотрудники!$B3,'Отпуска и отсутствия'!$D:$D,"&lt;="&amp;$B$1,'Отпуска и отсутствия'!$E:$E,"&gt;="&amp;$B$1)&gt;0,0,1))))</f>
        <v>0</v>
      </c>
    </row>
    <row r="12" customFormat="false" ht="15" hidden="false" customHeight="true" outlineLevel="0" collapsed="false">
      <c r="A12" s="6" t="str">
        <f aca="false">Сотрудники!B4</f>
        <v>Сидорова А.</v>
      </c>
      <c r="B12" s="6" t="str">
        <f aca="false">Сотрудники!C4</f>
        <v>склад</v>
      </c>
      <c r="C12" s="7" t="n">
        <f aca="false">Сотрудники!E4</f>
        <v>600</v>
      </c>
      <c r="D12" s="7" t="n">
        <f aca="false">IF(Сотрудники!$B4="","",IF(Сотрудники!$M4&lt;&gt;"да",0,IF(N(INDEX(Сотрудники!$F4:$L4,1,$F$1))&lt;&gt;1,0,IF(COUNTIFS('Отпуска и отсутствия'!$B:$B,Сотрудники!$B4,'Отпуска и отсутствия'!$D:$D,"&lt;="&amp;$B$1,'Отпуска и отсутствия'!$E:$E,"&gt;="&amp;$B$1)&gt;0,0,1))))</f>
        <v>1</v>
      </c>
    </row>
    <row r="13" customFormat="false" ht="15" hidden="false" customHeight="true" outlineLevel="0" collapsed="false">
      <c r="A13" s="6" t="str">
        <f aca="false">Сотрудники!B5</f>
        <v>Козлов В.</v>
      </c>
      <c r="B13" s="6" t="str">
        <f aca="false">Сотрудники!C5</f>
        <v>производство</v>
      </c>
      <c r="C13" s="7" t="n">
        <f aca="false">Сотрудники!E5</f>
        <v>1600</v>
      </c>
      <c r="D13" s="7" t="n">
        <f aca="false">IF(Сотрудники!$B5="","",IF(Сотрудники!$M5&lt;&gt;"да",0,IF(N(INDEX(Сотрудники!$F5:$L5,1,$F$1))&lt;&gt;1,0,IF(COUNTIFS('Отпуска и отсутствия'!$B:$B,Сотрудники!$B5,'Отпуска и отсутствия'!$D:$D,"&lt;="&amp;$B$1,'Отпуска и отсутствия'!$E:$E,"&gt;="&amp;$B$1)&gt;0,0,1))))</f>
        <v>0</v>
      </c>
    </row>
    <row r="14" customFormat="false" ht="15" hidden="false" customHeight="true" outlineLevel="0" collapsed="false">
      <c r="A14" s="6" t="str">
        <f aca="false">Сотрудники!B6</f>
        <v>Морозова Е.</v>
      </c>
      <c r="B14" s="6" t="str">
        <f aca="false">Сотрудники!C6</f>
        <v>производство</v>
      </c>
      <c r="C14" s="7" t="n">
        <f aca="false">Сотрудники!E6</f>
        <v>1500</v>
      </c>
      <c r="D14" s="7" t="n">
        <f aca="false">IF(Сотрудники!$B6="","",IF(Сотрудники!$M6&lt;&gt;"да",0,IF(N(INDEX(Сотрудники!$F6:$L6,1,$F$1))&lt;&gt;1,0,IF(COUNTIFS('Отпуска и отсутствия'!$B:$B,Сотрудники!$B6,'Отпуска и отсутствия'!$D:$D,"&lt;="&amp;$B$1,'Отпуска и отсутствия'!$E:$E,"&gt;="&amp;$B$1)&gt;0,0,1))))</f>
        <v>0</v>
      </c>
    </row>
    <row r="15" customFormat="false" ht="15" hidden="false" customHeight="true" outlineLevel="0" collapsed="false">
      <c r="A15" s="6" t="str">
        <f aca="false">Сотрудники!B7</f>
        <v>Новиков Д.</v>
      </c>
      <c r="B15" s="6" t="str">
        <f aca="false">Сотрудники!C7</f>
        <v>производство</v>
      </c>
      <c r="C15" s="7" t="n">
        <f aca="false">Сотрудники!E7</f>
        <v>1400</v>
      </c>
      <c r="D15" s="7" t="n">
        <f aca="false">IF(Сотрудники!$B7="","",IF(Сотрудники!$M7&lt;&gt;"да",0,IF(N(INDEX(Сотрудники!$F7:$L7,1,$F$1))&lt;&gt;1,0,IF(COUNTIFS('Отпуска и отсутствия'!$B:$B,Сотрудники!$B7,'Отпуска и отсутствия'!$D:$D,"&lt;="&amp;$B$1,'Отпуска и отсутствия'!$E:$E,"&gt;="&amp;$B$1)&gt;0,0,1))))</f>
        <v>1</v>
      </c>
    </row>
    <row r="16" customFormat="false" ht="15" hidden="false" customHeight="true" outlineLevel="0" collapsed="false">
      <c r="A16" s="6" t="n">
        <f aca="false">Сотрудники!B8</f>
        <v>0</v>
      </c>
      <c r="B16" s="6" t="n">
        <f aca="false">Сотрудники!C8</f>
        <v>0</v>
      </c>
      <c r="C16" s="7" t="n">
        <f aca="false">Сотрудники!E8</f>
        <v>0</v>
      </c>
      <c r="D16" s="7" t="str">
        <f aca="false">IF(Сотрудники!$B8="","",IF(Сотрудники!$M8&lt;&gt;"да",0,IF(N(INDEX(Сотрудники!$F8:$L8,1,$F$1))&lt;&gt;1,0,IF(COUNTIFS('Отпуска и отсутствия'!$B:$B,Сотрудники!$B8,'Отпуска и отсутствия'!$D:$D,"&lt;="&amp;$B$1,'Отпуска и отсутствия'!$E:$E,"&gt;="&amp;$B$1)&gt;0,0,1))))</f>
        <v/>
      </c>
    </row>
    <row r="17" customFormat="false" ht="15" hidden="false" customHeight="true" outlineLevel="0" collapsed="false">
      <c r="A17" s="6" t="n">
        <f aca="false">Сотрудники!B9</f>
        <v>0</v>
      </c>
      <c r="B17" s="6" t="n">
        <f aca="false">Сотрудники!C9</f>
        <v>0</v>
      </c>
      <c r="C17" s="7" t="n">
        <f aca="false">Сотрудники!E9</f>
        <v>0</v>
      </c>
      <c r="D17" s="7" t="str">
        <f aca="false">IF(Сотрудники!$B9="","",IF(Сотрудники!$M9&lt;&gt;"да",0,IF(N(INDEX(Сотрудники!$F9:$L9,1,$F$1))&lt;&gt;1,0,IF(COUNTIFS('Отпуска и отсутствия'!$B:$B,Сотрудники!$B9,'Отпуска и отсутствия'!$D:$D,"&lt;="&amp;$B$1,'Отпуска и отсутствия'!$E:$E,"&gt;="&amp;$B$1)&gt;0,0,1))))</f>
        <v/>
      </c>
    </row>
    <row r="18" customFormat="false" ht="15" hidden="false" customHeight="true" outlineLevel="0" collapsed="false">
      <c r="A18" s="6" t="n">
        <f aca="false">Сотрудники!B10</f>
        <v>0</v>
      </c>
      <c r="B18" s="6" t="n">
        <f aca="false">Сотрудники!C10</f>
        <v>0</v>
      </c>
      <c r="C18" s="7" t="n">
        <f aca="false">Сотрудники!E10</f>
        <v>0</v>
      </c>
      <c r="D18" s="7" t="str">
        <f aca="false">IF(Сотрудники!$B10="","",IF(Сотрудники!$M10&lt;&gt;"да",0,IF(N(INDEX(Сотрудники!$F10:$L10,1,$F$1))&lt;&gt;1,0,IF(COUNTIFS('Отпуска и отсутствия'!$B:$B,Сотрудники!$B10,'Отпуска и отсутствия'!$D:$D,"&lt;="&amp;$B$1,'Отпуска и отсутствия'!$E:$E,"&gt;="&amp;$B$1)&gt;0,0,1))))</f>
        <v/>
      </c>
    </row>
    <row r="19" customFormat="false" ht="15" hidden="false" customHeight="true" outlineLevel="0" collapsed="false">
      <c r="A19" s="6" t="n">
        <f aca="false">Сотрудники!B11</f>
        <v>0</v>
      </c>
      <c r="B19" s="6" t="n">
        <f aca="false">Сотрудники!C11</f>
        <v>0</v>
      </c>
      <c r="C19" s="7" t="n">
        <f aca="false">Сотрудники!E11</f>
        <v>0</v>
      </c>
      <c r="D19" s="7" t="str">
        <f aca="false">IF(Сотрудники!$B11="","",IF(Сотрудники!$M11&lt;&gt;"да",0,IF(N(INDEX(Сотрудники!$F11:$L11,1,$F$1))&lt;&gt;1,0,IF(COUNTIFS('Отпуска и отсутствия'!$B:$B,Сотрудники!$B11,'Отпуска и отсутствия'!$D:$D,"&lt;="&amp;$B$1,'Отпуска и отсутствия'!$E:$E,"&gt;="&amp;$B$1)&gt;0,0,1))))</f>
        <v/>
      </c>
    </row>
    <row r="20" customFormat="false" ht="15" hidden="false" customHeight="true" outlineLevel="0" collapsed="false">
      <c r="A20" s="6" t="n">
        <f aca="false">Сотрудники!B12</f>
        <v>0</v>
      </c>
      <c r="B20" s="6" t="n">
        <f aca="false">Сотрудники!C12</f>
        <v>0</v>
      </c>
      <c r="C20" s="7" t="n">
        <f aca="false">Сотрудники!E12</f>
        <v>0</v>
      </c>
      <c r="D20" s="7" t="str">
        <f aca="false">IF(Сотрудники!$B12="","",IF(Сотрудники!$M12&lt;&gt;"да",0,IF(N(INDEX(Сотрудники!$F12:$L12,1,$F$1))&lt;&gt;1,0,IF(COUNTIFS('Отпуска и отсутствия'!$B:$B,Сотрудники!$B12,'Отпуска и отсутствия'!$D:$D,"&lt;="&amp;$B$1,'Отпуска и отсутствия'!$E:$E,"&gt;="&amp;$B$1)&gt;0,0,1))))</f>
        <v/>
      </c>
    </row>
    <row r="21" customFormat="false" ht="15" hidden="false" customHeight="true" outlineLevel="0" collapsed="false">
      <c r="A21" s="6" t="n">
        <f aca="false">Сотрудники!B13</f>
        <v>0</v>
      </c>
      <c r="B21" s="6" t="n">
        <f aca="false">Сотрудники!C13</f>
        <v>0</v>
      </c>
      <c r="C21" s="7" t="n">
        <f aca="false">Сотрудники!E13</f>
        <v>0</v>
      </c>
      <c r="D21" s="7" t="str">
        <f aca="false">IF(Сотрудники!$B13="","",IF(Сотрудники!$M13&lt;&gt;"да",0,IF(N(INDEX(Сотрудники!$F13:$L13,1,$F$1))&lt;&gt;1,0,IF(COUNTIFS('Отпуска и отсутствия'!$B:$B,Сотрудники!$B13,'Отпуска и отсутствия'!$D:$D,"&lt;="&amp;$B$1,'Отпуска и отсутствия'!$E:$E,"&gt;="&amp;$B$1)&gt;0,0,1))))</f>
        <v/>
      </c>
    </row>
    <row r="22" customFormat="false" ht="15" hidden="false" customHeight="true" outlineLevel="0" collapsed="false">
      <c r="A22" s="6" t="n">
        <f aca="false">Сотрудники!B14</f>
        <v>0</v>
      </c>
      <c r="B22" s="6" t="n">
        <f aca="false">Сотрудники!C14</f>
        <v>0</v>
      </c>
      <c r="C22" s="7" t="n">
        <f aca="false">Сотрудники!E14</f>
        <v>0</v>
      </c>
      <c r="D22" s="7" t="str">
        <f aca="false">IF(Сотрудники!$B14="","",IF(Сотрудники!$M14&lt;&gt;"да",0,IF(N(INDEX(Сотрудники!$F14:$L14,1,$F$1))&lt;&gt;1,0,IF(COUNTIFS('Отпуска и отсутствия'!$B:$B,Сотрудники!$B14,'Отпуска и отсутствия'!$D:$D,"&lt;="&amp;$B$1,'Отпуска и отсутствия'!$E:$E,"&gt;="&amp;$B$1)&gt;0,0,1))))</f>
        <v/>
      </c>
    </row>
    <row r="23" customFormat="false" ht="15" hidden="false" customHeight="true" outlineLevel="0" collapsed="false">
      <c r="A23" s="6" t="n">
        <f aca="false">Сотрудники!B15</f>
        <v>0</v>
      </c>
      <c r="B23" s="6" t="n">
        <f aca="false">Сотрудники!C15</f>
        <v>0</v>
      </c>
      <c r="C23" s="7" t="n">
        <f aca="false">Сотрудники!E15</f>
        <v>0</v>
      </c>
      <c r="D23" s="7" t="str">
        <f aca="false">IF(Сотрудники!$B15="","",IF(Сотрудники!$M15&lt;&gt;"да",0,IF(N(INDEX(Сотрудники!$F15:$L15,1,$F$1))&lt;&gt;1,0,IF(COUNTIFS('Отпуска и отсутствия'!$B:$B,Сотрудники!$B15,'Отпуска и отсутствия'!$D:$D,"&lt;="&amp;$B$1,'Отпуска и отсутствия'!$E:$E,"&gt;="&amp;$B$1)&gt;0,0,1))))</f>
        <v/>
      </c>
    </row>
    <row r="24" customFormat="false" ht="15" hidden="false" customHeight="true" outlineLevel="0" collapsed="false">
      <c r="A24" s="6" t="n">
        <f aca="false">Сотрудники!B16</f>
        <v>0</v>
      </c>
      <c r="B24" s="6" t="n">
        <f aca="false">Сотрудники!C16</f>
        <v>0</v>
      </c>
      <c r="C24" s="7" t="n">
        <f aca="false">Сотрудники!E16</f>
        <v>0</v>
      </c>
      <c r="D24" s="7" t="str">
        <f aca="false">IF(Сотрудники!$B16="","",IF(Сотрудники!$M16&lt;&gt;"да",0,IF(N(INDEX(Сотрудники!$F16:$L16,1,$F$1))&lt;&gt;1,0,IF(COUNTIFS('Отпуска и отсутствия'!$B:$B,Сотрудники!$B16,'Отпуска и отсутствия'!$D:$D,"&lt;="&amp;$B$1,'Отпуска и отсутствия'!$E:$E,"&gt;="&amp;$B$1)&gt;0,0,1))))</f>
        <v/>
      </c>
    </row>
    <row r="25" customFormat="false" ht="15" hidden="false" customHeight="true" outlineLevel="0" collapsed="false">
      <c r="A25" s="6" t="n">
        <f aca="false">Сотрудники!B17</f>
        <v>0</v>
      </c>
      <c r="B25" s="6" t="n">
        <f aca="false">Сотрудники!C17</f>
        <v>0</v>
      </c>
      <c r="C25" s="7" t="n">
        <f aca="false">Сотрудники!E17</f>
        <v>0</v>
      </c>
      <c r="D25" s="7" t="str">
        <f aca="false">IF(Сотрудники!$B17="","",IF(Сотрудники!$M17&lt;&gt;"да",0,IF(N(INDEX(Сотрудники!$F17:$L17,1,$F$1))&lt;&gt;1,0,IF(COUNTIFS('Отпуска и отсутствия'!$B:$B,Сотрудники!$B17,'Отпуска и отсутствия'!$D:$D,"&lt;="&amp;$B$1,'Отпуска и отсутствия'!$E:$E,"&gt;="&amp;$B$1)&gt;0,0,1))))</f>
        <v/>
      </c>
    </row>
    <row r="26" customFormat="false" ht="15" hidden="false" customHeight="true" outlineLevel="0" collapsed="false">
      <c r="A26" s="6" t="n">
        <f aca="false">Сотрудники!B18</f>
        <v>0</v>
      </c>
      <c r="B26" s="6" t="n">
        <f aca="false">Сотрудники!C18</f>
        <v>0</v>
      </c>
      <c r="C26" s="7" t="n">
        <f aca="false">Сотрудники!E18</f>
        <v>0</v>
      </c>
      <c r="D26" s="7" t="str">
        <f aca="false">IF(Сотрудники!$B18="","",IF(Сотрудники!$M18&lt;&gt;"да",0,IF(N(INDEX(Сотрудники!$F18:$L18,1,$F$1))&lt;&gt;1,0,IF(COUNTIFS('Отпуска и отсутствия'!$B:$B,Сотрудники!$B18,'Отпуска и отсутствия'!$D:$D,"&lt;="&amp;$B$1,'Отпуска и отсутствия'!$E:$E,"&gt;="&amp;$B$1)&gt;0,0,1))))</f>
        <v/>
      </c>
    </row>
    <row r="27" customFormat="false" ht="15" hidden="false" customHeight="true" outlineLevel="0" collapsed="false">
      <c r="A27" s="6" t="n">
        <f aca="false">Сотрудники!B19</f>
        <v>0</v>
      </c>
      <c r="B27" s="6" t="n">
        <f aca="false">Сотрудники!C19</f>
        <v>0</v>
      </c>
      <c r="C27" s="7" t="n">
        <f aca="false">Сотрудники!E19</f>
        <v>0</v>
      </c>
      <c r="D27" s="7" t="str">
        <f aca="false">IF(Сотрудники!$B19="","",IF(Сотрудники!$M19&lt;&gt;"да",0,IF(N(INDEX(Сотрудники!$F19:$L19,1,$F$1))&lt;&gt;1,0,IF(COUNTIFS('Отпуска и отсутствия'!$B:$B,Сотрудники!$B19,'Отпуска и отсутствия'!$D:$D,"&lt;="&amp;$B$1,'Отпуска и отсутствия'!$E:$E,"&gt;="&amp;$B$1)&gt;0,0,1))))</f>
        <v/>
      </c>
    </row>
    <row r="28" customFormat="false" ht="15" hidden="false" customHeight="true" outlineLevel="0" collapsed="false">
      <c r="A28" s="6" t="n">
        <f aca="false">Сотрудники!B20</f>
        <v>0</v>
      </c>
      <c r="B28" s="6" t="n">
        <f aca="false">Сотрудники!C20</f>
        <v>0</v>
      </c>
      <c r="C28" s="7" t="n">
        <f aca="false">Сотрудники!E20</f>
        <v>0</v>
      </c>
      <c r="D28" s="7" t="str">
        <f aca="false">IF(Сотрудники!$B20="","",IF(Сотрудники!$M20&lt;&gt;"да",0,IF(N(INDEX(Сотрудники!$F20:$L20,1,$F$1))&lt;&gt;1,0,IF(COUNTIFS('Отпуска и отсутствия'!$B:$B,Сотрудники!$B20,'Отпуска и отсутствия'!$D:$D,"&lt;="&amp;$B$1,'Отпуска и отсутствия'!$E:$E,"&gt;="&amp;$B$1)&gt;0,0,1))))</f>
        <v/>
      </c>
    </row>
    <row r="29" customFormat="false" ht="15" hidden="false" customHeight="true" outlineLevel="0" collapsed="false">
      <c r="A29" s="6" t="n">
        <f aca="false">Сотрудники!B21</f>
        <v>0</v>
      </c>
      <c r="B29" s="6" t="n">
        <f aca="false">Сотрудники!C21</f>
        <v>0</v>
      </c>
      <c r="C29" s="7" t="n">
        <f aca="false">Сотрудники!E21</f>
        <v>0</v>
      </c>
      <c r="D29" s="7" t="str">
        <f aca="false">IF(Сотрудники!$B21="","",IF(Сотрудники!$M21&lt;&gt;"да",0,IF(N(INDEX(Сотрудники!$F21:$L21,1,$F$1))&lt;&gt;1,0,IF(COUNTIFS('Отпуска и отсутствия'!$B:$B,Сотрудники!$B21,'Отпуска и отсутствия'!$D:$D,"&lt;="&amp;$B$1,'Отпуска и отсутствия'!$E:$E,"&gt;="&amp;$B$1)&gt;0,0,1))))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2026-06-20T10:38:19Z</dcterms:created>
  <dc:creator>openpyxl</dc:creator>
  <dc:description/>
  <dc:language>en-US</dc:language>
  <cp:lastModifiedBy/>
  <dcterms:modified xsi:type="dcterms:W3CDTF">2026-06-20T10:38:50Z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